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iles\Vic3 mods\STM\"/>
    </mc:Choice>
  </mc:AlternateContent>
  <xr:revisionPtr revIDLastSave="0" documentId="13_ncr:1_{C7F3067A-C940-4589-8A6C-C566D0DDA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ng2ZdOEatX5Ls+BSt82CPaaxSL+OeGl3/2fdixmrV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I25" i="1"/>
  <c r="E25" i="1"/>
  <c r="I24" i="1"/>
  <c r="E24" i="1"/>
  <c r="I23" i="1"/>
  <c r="E23" i="1"/>
  <c r="I22" i="1"/>
  <c r="E22" i="1"/>
  <c r="I21" i="1"/>
  <c r="F17" i="1"/>
  <c r="E17" i="1"/>
  <c r="E16" i="1"/>
  <c r="F16" i="1" s="1"/>
  <c r="E15" i="1"/>
  <c r="F15" i="1" s="1"/>
  <c r="E14" i="1"/>
  <c r="F14" i="1" s="1"/>
  <c r="F13" i="1"/>
  <c r="E13" i="1"/>
  <c r="E12" i="1"/>
  <c r="F12" i="1" s="1"/>
  <c r="E11" i="1"/>
  <c r="F11" i="1" s="1"/>
  <c r="E10" i="1"/>
  <c r="F10" i="1" s="1"/>
  <c r="E9" i="1"/>
  <c r="F9" i="1" s="1"/>
  <c r="E8" i="1"/>
  <c r="F8" i="1" s="1"/>
  <c r="F7" i="1"/>
  <c r="E7" i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<sst xmlns="http://schemas.openxmlformats.org/spreadsheetml/2006/main" count="33" uniqueCount="32">
  <si>
    <t>Country</t>
  </si>
  <si>
    <t>Debt IRL (millions £)</t>
  </si>
  <si>
    <t>GDP IRL (millions £)</t>
  </si>
  <si>
    <t>Gold Reserves IRL (millions £)</t>
  </si>
  <si>
    <t>Debt-Gold Reserves IRL (millions £)</t>
  </si>
  <si>
    <t>Debt/GDP</t>
  </si>
  <si>
    <t>GDP ingame</t>
  </si>
  <si>
    <t>Credit Limit</t>
  </si>
  <si>
    <t>Game Start Debt</t>
  </si>
  <si>
    <t>United Kingdom</t>
  </si>
  <si>
    <t>France</t>
  </si>
  <si>
    <t>Russia</t>
  </si>
  <si>
    <t>Austria</t>
  </si>
  <si>
    <t>Prussia</t>
  </si>
  <si>
    <t>Ottoman Empire</t>
  </si>
  <si>
    <t>Spain</t>
  </si>
  <si>
    <t>Portugal</t>
  </si>
  <si>
    <t>Netherlands</t>
  </si>
  <si>
    <t>Belgium</t>
  </si>
  <si>
    <t>Sweden-Norway</t>
  </si>
  <si>
    <t>Denmark</t>
  </si>
  <si>
    <t>Sardinia-Pied.</t>
  </si>
  <si>
    <t>Two Sicilies</t>
  </si>
  <si>
    <t>India (EIC)</t>
  </si>
  <si>
    <t>Brazil</t>
  </si>
  <si>
    <t>Countries With Positive Cash Stock Pile</t>
  </si>
  <si>
    <t>In Game GDP</t>
  </si>
  <si>
    <t>Gold Reserves at Start</t>
  </si>
  <si>
    <t>Egypt</t>
  </si>
  <si>
    <t>United States</t>
  </si>
  <si>
    <t>China (Qing)</t>
  </si>
  <si>
    <t>Japan (Tokugawa)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</si>
</sst>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F2" sqref="F2"/>
    </sheetView>
  </sheetViews>
  <sheetFormatPr defaultColWidth="14.44140625" defaultRowHeight="15" customHeight="1" x14ac:dyDescent="0.3"/>
  <cols>
    <col min="1" max="1" width="19.88671875" customWidth="1"/>
    <col min="2" max="2" width="10.6640625" customWidth="1"/>
    <col min="3" max="3" width="11.33203125" customWidth="1"/>
    <col min="4" max="4" width="12" customWidth="1"/>
    <col min="5" max="5" width="12.109375" customWidth="1"/>
    <col min="6" max="7" width="12.6640625" customWidth="1"/>
    <col min="8" max="8" width="12.109375" customWidth="1"/>
    <col min="9" max="9" width="17.33203125" customWidth="1"/>
    <col min="10" max="10" width="14.6640625" customWidth="1"/>
    <col min="11" max="26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/>
    </row>
    <row r="2" spans="1:10" ht="14.25" customHeight="1" x14ac:dyDescent="0.3">
      <c r="A2" s="3" t="s">
        <v>9</v>
      </c>
      <c r="B2" s="4">
        <v>800</v>
      </c>
      <c r="C2" s="4">
        <v>440</v>
      </c>
      <c r="D2" s="4">
        <v>12</v>
      </c>
      <c r="E2" s="4">
        <f t="shared" ref="E2:E17" si="0">(B2-D2)</f>
        <v>788</v>
      </c>
      <c r="F2" s="5">
        <f t="shared" ref="F2:F17" si="1">E2/C2</f>
        <v>1.790909090909091</v>
      </c>
      <c r="G2" s="6">
        <v>28.1</v>
      </c>
      <c r="H2" s="7">
        <v>41.7</v>
      </c>
      <c r="I2" s="8">
        <f>0.75*(G2*F2)</f>
        <v>37.743409090909097</v>
      </c>
    </row>
    <row r="3" spans="1:10" ht="14.25" customHeight="1" x14ac:dyDescent="0.3">
      <c r="A3" s="3" t="s">
        <v>10</v>
      </c>
      <c r="B3" s="4">
        <v>150</v>
      </c>
      <c r="C3" s="4">
        <v>300</v>
      </c>
      <c r="D3" s="4">
        <v>9</v>
      </c>
      <c r="E3" s="4">
        <f t="shared" si="0"/>
        <v>141</v>
      </c>
      <c r="F3" s="5">
        <f t="shared" si="1"/>
        <v>0.47</v>
      </c>
      <c r="G3" s="4">
        <v>22.6</v>
      </c>
      <c r="H3" s="7">
        <v>41.1</v>
      </c>
      <c r="I3" s="8">
        <f t="shared" ref="I3:I17" si="2">0.75*(G3*F3)</f>
        <v>7.9664999999999999</v>
      </c>
    </row>
    <row r="4" spans="1:10" ht="14.25" customHeight="1" x14ac:dyDescent="0.3">
      <c r="A4" s="3" t="s">
        <v>11</v>
      </c>
      <c r="B4" s="4">
        <v>65</v>
      </c>
      <c r="C4" s="4">
        <v>350</v>
      </c>
      <c r="D4" s="4">
        <v>11</v>
      </c>
      <c r="E4" s="4">
        <f t="shared" si="0"/>
        <v>54</v>
      </c>
      <c r="F4" s="5">
        <f t="shared" si="1"/>
        <v>0.15428571428571428</v>
      </c>
      <c r="G4" s="4">
        <v>23.2</v>
      </c>
      <c r="H4" s="7">
        <v>54.3</v>
      </c>
      <c r="I4" s="8">
        <f t="shared" si="2"/>
        <v>2.6845714285714282</v>
      </c>
    </row>
    <row r="5" spans="1:10" ht="14.25" customHeight="1" x14ac:dyDescent="0.3">
      <c r="A5" s="3" t="s">
        <v>12</v>
      </c>
      <c r="B5" s="4">
        <v>90</v>
      </c>
      <c r="C5" s="4">
        <v>190</v>
      </c>
      <c r="D5" s="4">
        <v>6.5</v>
      </c>
      <c r="E5" s="4">
        <f t="shared" si="0"/>
        <v>83.5</v>
      </c>
      <c r="F5" s="5">
        <f t="shared" si="1"/>
        <v>0.43947368421052629</v>
      </c>
      <c r="G5" s="4">
        <v>14</v>
      </c>
      <c r="H5" s="9">
        <v>20.8</v>
      </c>
      <c r="I5" s="8">
        <f t="shared" si="2"/>
        <v>4.6144736842105258</v>
      </c>
    </row>
    <row r="6" spans="1:10" ht="14.25" customHeight="1" x14ac:dyDescent="0.3">
      <c r="A6" s="3" t="s">
        <v>13</v>
      </c>
      <c r="B6" s="4">
        <v>12</v>
      </c>
      <c r="C6" s="4">
        <v>110</v>
      </c>
      <c r="D6" s="4">
        <v>4.5</v>
      </c>
      <c r="E6" s="4">
        <f t="shared" si="0"/>
        <v>7.5</v>
      </c>
      <c r="F6" s="5">
        <f t="shared" si="1"/>
        <v>6.8181818181818177E-2</v>
      </c>
      <c r="G6" s="4">
        <v>9.8000000000000007</v>
      </c>
      <c r="H6" s="7">
        <v>17</v>
      </c>
      <c r="I6" s="8">
        <f t="shared" si="2"/>
        <v>0.50113636363636371</v>
      </c>
    </row>
    <row r="7" spans="1:10" ht="14.25" customHeight="1" x14ac:dyDescent="0.3">
      <c r="A7" s="3" t="s">
        <v>14</v>
      </c>
      <c r="B7" s="4">
        <v>10</v>
      </c>
      <c r="C7" s="4">
        <v>90</v>
      </c>
      <c r="D7" s="4">
        <v>2.5</v>
      </c>
      <c r="E7" s="4">
        <f t="shared" si="0"/>
        <v>7.5</v>
      </c>
      <c r="F7" s="5">
        <f t="shared" si="1"/>
        <v>8.3333333333333329E-2</v>
      </c>
      <c r="G7" s="4">
        <v>9.9</v>
      </c>
      <c r="H7" s="7">
        <v>18.3</v>
      </c>
      <c r="I7" s="8">
        <f t="shared" si="2"/>
        <v>0.61874999999999991</v>
      </c>
    </row>
    <row r="8" spans="1:10" ht="14.25" customHeight="1" x14ac:dyDescent="0.3">
      <c r="A8" s="3" t="s">
        <v>15</v>
      </c>
      <c r="B8" s="4">
        <v>65</v>
      </c>
      <c r="C8" s="4">
        <v>120</v>
      </c>
      <c r="D8" s="4">
        <v>4</v>
      </c>
      <c r="E8" s="4">
        <f t="shared" si="0"/>
        <v>61</v>
      </c>
      <c r="F8" s="5">
        <f t="shared" si="1"/>
        <v>0.5083333333333333</v>
      </c>
      <c r="G8" s="4">
        <v>8.1</v>
      </c>
      <c r="H8" s="7">
        <v>14.2</v>
      </c>
      <c r="I8" s="8">
        <f t="shared" si="2"/>
        <v>3.0881249999999998</v>
      </c>
    </row>
    <row r="9" spans="1:10" ht="14.25" customHeight="1" x14ac:dyDescent="0.3">
      <c r="A9" s="3" t="s">
        <v>16</v>
      </c>
      <c r="B9" s="4">
        <v>40</v>
      </c>
      <c r="C9" s="4">
        <v>35</v>
      </c>
      <c r="D9" s="4">
        <v>1.5</v>
      </c>
      <c r="E9" s="4">
        <f t="shared" si="0"/>
        <v>38.5</v>
      </c>
      <c r="F9" s="5">
        <f t="shared" si="1"/>
        <v>1.1000000000000001</v>
      </c>
      <c r="G9" s="7">
        <v>2.8</v>
      </c>
      <c r="H9" s="7">
        <v>6.9</v>
      </c>
      <c r="I9" s="8">
        <f t="shared" si="2"/>
        <v>2.31</v>
      </c>
    </row>
    <row r="10" spans="1:10" ht="14.25" customHeight="1" x14ac:dyDescent="0.3">
      <c r="A10" s="3" t="s">
        <v>17</v>
      </c>
      <c r="B10" s="4">
        <v>110</v>
      </c>
      <c r="C10" s="4">
        <v>55</v>
      </c>
      <c r="D10" s="4">
        <v>3</v>
      </c>
      <c r="E10" s="4">
        <f t="shared" si="0"/>
        <v>107</v>
      </c>
      <c r="F10" s="5">
        <f t="shared" si="1"/>
        <v>1.9454545454545455</v>
      </c>
      <c r="G10" s="7">
        <v>2</v>
      </c>
      <c r="H10" s="7">
        <v>4.3</v>
      </c>
      <c r="I10" s="8">
        <f t="shared" si="2"/>
        <v>2.9181818181818184</v>
      </c>
    </row>
    <row r="11" spans="1:10" ht="14.25" customHeight="1" x14ac:dyDescent="0.3">
      <c r="A11" s="3" t="s">
        <v>18</v>
      </c>
      <c r="B11" s="4">
        <v>20</v>
      </c>
      <c r="C11" s="4">
        <v>30</v>
      </c>
      <c r="D11" s="4">
        <v>1</v>
      </c>
      <c r="E11" s="4">
        <f t="shared" si="0"/>
        <v>19</v>
      </c>
      <c r="F11" s="5">
        <f t="shared" si="1"/>
        <v>0.6333333333333333</v>
      </c>
      <c r="G11" s="7">
        <v>3</v>
      </c>
      <c r="H11" s="7">
        <v>4.8</v>
      </c>
      <c r="I11" s="8">
        <f t="shared" si="2"/>
        <v>1.4249999999999998</v>
      </c>
    </row>
    <row r="12" spans="1:10" ht="14.25" customHeight="1" x14ac:dyDescent="0.3">
      <c r="A12" s="3" t="s">
        <v>19</v>
      </c>
      <c r="B12" s="4">
        <v>5</v>
      </c>
      <c r="C12" s="4">
        <v>25</v>
      </c>
      <c r="D12" s="4">
        <v>1.5</v>
      </c>
      <c r="E12" s="4">
        <f t="shared" si="0"/>
        <v>3.5</v>
      </c>
      <c r="F12" s="5">
        <f t="shared" si="1"/>
        <v>0.14000000000000001</v>
      </c>
      <c r="G12" s="7">
        <v>2.5</v>
      </c>
      <c r="H12" s="7">
        <v>4</v>
      </c>
      <c r="I12" s="8">
        <f t="shared" si="2"/>
        <v>0.26250000000000001</v>
      </c>
    </row>
    <row r="13" spans="1:10" ht="14.25" customHeight="1" x14ac:dyDescent="0.3">
      <c r="A13" s="3" t="s">
        <v>20</v>
      </c>
      <c r="B13" s="4">
        <v>8</v>
      </c>
      <c r="C13" s="4">
        <v>20</v>
      </c>
      <c r="D13" s="4">
        <v>0.8</v>
      </c>
      <c r="E13" s="4">
        <f t="shared" si="0"/>
        <v>7.2</v>
      </c>
      <c r="F13" s="5">
        <f t="shared" si="1"/>
        <v>0.36</v>
      </c>
      <c r="G13" s="7">
        <v>1</v>
      </c>
      <c r="H13" s="7">
        <v>2.4</v>
      </c>
      <c r="I13" s="8">
        <f t="shared" si="2"/>
        <v>0.27</v>
      </c>
    </row>
    <row r="14" spans="1:10" ht="14.25" customHeight="1" x14ac:dyDescent="0.3">
      <c r="A14" s="3" t="s">
        <v>21</v>
      </c>
      <c r="B14" s="4">
        <v>15</v>
      </c>
      <c r="C14" s="4">
        <v>25</v>
      </c>
      <c r="D14" s="4">
        <v>1.2</v>
      </c>
      <c r="E14" s="4">
        <f t="shared" si="0"/>
        <v>13.8</v>
      </c>
      <c r="F14" s="5">
        <f t="shared" si="1"/>
        <v>0.55200000000000005</v>
      </c>
      <c r="G14" s="7">
        <v>2</v>
      </c>
      <c r="H14" s="7">
        <v>3.45</v>
      </c>
      <c r="I14" s="8">
        <f t="shared" si="2"/>
        <v>0.82800000000000007</v>
      </c>
    </row>
    <row r="15" spans="1:10" ht="14.25" customHeight="1" x14ac:dyDescent="0.3">
      <c r="A15" s="3" t="s">
        <v>22</v>
      </c>
      <c r="B15" s="4">
        <v>12</v>
      </c>
      <c r="C15" s="4">
        <v>28</v>
      </c>
      <c r="D15" s="4">
        <v>1</v>
      </c>
      <c r="E15" s="4">
        <f t="shared" si="0"/>
        <v>11</v>
      </c>
      <c r="F15" s="5">
        <f t="shared" si="1"/>
        <v>0.39285714285714285</v>
      </c>
      <c r="G15" s="7">
        <v>3.6</v>
      </c>
      <c r="H15" s="7">
        <v>7.2</v>
      </c>
      <c r="I15" s="8">
        <f t="shared" si="2"/>
        <v>1.0607142857142857</v>
      </c>
    </row>
    <row r="16" spans="1:10" ht="14.25" customHeight="1" x14ac:dyDescent="0.3">
      <c r="A16" s="3" t="s">
        <v>23</v>
      </c>
      <c r="B16" s="4">
        <v>45</v>
      </c>
      <c r="C16" s="4">
        <v>450</v>
      </c>
      <c r="D16" s="4">
        <v>7</v>
      </c>
      <c r="E16" s="4">
        <f t="shared" si="0"/>
        <v>38</v>
      </c>
      <c r="F16" s="5">
        <f t="shared" si="1"/>
        <v>8.4444444444444447E-2</v>
      </c>
      <c r="G16" s="7">
        <v>34.1</v>
      </c>
      <c r="H16" s="7">
        <v>49.2</v>
      </c>
      <c r="I16" s="8">
        <f t="shared" si="2"/>
        <v>2.1596666666666668</v>
      </c>
    </row>
    <row r="17" spans="1:10" ht="14.25" customHeight="1" x14ac:dyDescent="0.3">
      <c r="A17" s="3" t="s">
        <v>24</v>
      </c>
      <c r="B17" s="4">
        <v>12</v>
      </c>
      <c r="C17" s="4">
        <v>90</v>
      </c>
      <c r="D17" s="4">
        <v>2.5</v>
      </c>
      <c r="E17" s="4">
        <f t="shared" si="0"/>
        <v>9.5</v>
      </c>
      <c r="F17" s="5">
        <f t="shared" si="1"/>
        <v>0.10555555555555556</v>
      </c>
      <c r="G17" s="7">
        <v>4.3</v>
      </c>
      <c r="H17" s="7">
        <v>7.7</v>
      </c>
      <c r="I17" s="8">
        <f t="shared" si="2"/>
        <v>0.34041666666666665</v>
      </c>
    </row>
    <row r="18" spans="1:10" ht="14.25" customHeight="1" x14ac:dyDescent="0.3">
      <c r="A18" s="3"/>
      <c r="B18" s="4"/>
      <c r="C18" s="4"/>
      <c r="D18" s="4"/>
      <c r="E18" s="4"/>
      <c r="F18" s="5"/>
      <c r="I18" s="8"/>
    </row>
    <row r="19" spans="1:10" ht="14.25" customHeight="1" x14ac:dyDescent="0.3"/>
    <row r="20" spans="1:10" ht="14.25" customHeight="1" x14ac:dyDescent="0.3"/>
    <row r="21" spans="1:10" ht="42" customHeight="1" x14ac:dyDescent="0.3">
      <c r="A21" s="11" t="s">
        <v>25</v>
      </c>
      <c r="B21" s="12"/>
      <c r="E21" s="1" t="s">
        <v>3</v>
      </c>
      <c r="F21" s="1" t="s">
        <v>26</v>
      </c>
      <c r="G21" s="1" t="s">
        <v>27</v>
      </c>
      <c r="I21" s="7" t="e">
        <f t="shared" ref="I21:I25" si="3">0.75*(G21*F21)</f>
        <v>#VALUE!</v>
      </c>
      <c r="J21" s="10"/>
    </row>
    <row r="22" spans="1:10" ht="14.25" customHeight="1" x14ac:dyDescent="0.3">
      <c r="A22" s="3" t="s">
        <v>28</v>
      </c>
      <c r="B22" s="4">
        <v>0</v>
      </c>
      <c r="C22" s="4">
        <v>40</v>
      </c>
      <c r="D22" s="4">
        <v>0.5</v>
      </c>
      <c r="E22" s="4">
        <f t="shared" ref="E22:E25" si="4">(B22+D22)</f>
        <v>0.5</v>
      </c>
      <c r="F22" s="4"/>
      <c r="I22" s="7">
        <f t="shared" si="3"/>
        <v>0</v>
      </c>
    </row>
    <row r="23" spans="1:10" ht="14.25" customHeight="1" x14ac:dyDescent="0.3">
      <c r="A23" s="3" t="s">
        <v>29</v>
      </c>
      <c r="B23" s="4">
        <v>0</v>
      </c>
      <c r="C23" s="4">
        <v>150</v>
      </c>
      <c r="D23" s="4">
        <v>12.5</v>
      </c>
      <c r="E23" s="4">
        <f t="shared" si="4"/>
        <v>12.5</v>
      </c>
      <c r="F23" s="4"/>
      <c r="I23" s="7">
        <f t="shared" si="3"/>
        <v>0</v>
      </c>
    </row>
    <row r="24" spans="1:10" ht="14.25" customHeight="1" x14ac:dyDescent="0.3">
      <c r="A24" s="3" t="s">
        <v>30</v>
      </c>
      <c r="B24" s="4">
        <v>0</v>
      </c>
      <c r="C24" s="4">
        <v>600</v>
      </c>
      <c r="D24" s="4">
        <v>56</v>
      </c>
      <c r="E24" s="4">
        <f t="shared" si="4"/>
        <v>56</v>
      </c>
      <c r="F24" s="4"/>
      <c r="I24" s="7">
        <f t="shared" si="3"/>
        <v>0</v>
      </c>
    </row>
    <row r="25" spans="1:10" ht="14.25" customHeight="1" x14ac:dyDescent="0.3">
      <c r="A25" s="3" t="s">
        <v>31</v>
      </c>
      <c r="B25" s="4">
        <v>0</v>
      </c>
      <c r="C25" s="4">
        <v>120</v>
      </c>
      <c r="D25" s="4">
        <v>16</v>
      </c>
      <c r="E25" s="4">
        <f t="shared" si="4"/>
        <v>16</v>
      </c>
      <c r="F25" s="4"/>
      <c r="I25" s="7">
        <f t="shared" si="3"/>
        <v>0</v>
      </c>
    </row>
    <row r="26" spans="1:10" ht="14.25" customHeight="1" x14ac:dyDescent="0.3">
      <c r="E26" s="4"/>
    </row>
    <row r="27" spans="1:10" ht="14.25" customHeight="1" x14ac:dyDescent="0.3"/>
    <row r="28" spans="1:10" ht="14.25" customHeight="1" x14ac:dyDescent="0.3"/>
    <row r="29" spans="1:10" ht="14.25" customHeight="1" x14ac:dyDescent="0.3"/>
    <row r="30" spans="1:10" ht="14.25" customHeight="1" x14ac:dyDescent="0.3"/>
    <row r="31" spans="1:10" ht="14.25" customHeight="1" x14ac:dyDescent="0.3"/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21:B2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Lee</dc:creator>
  <cp:lastModifiedBy>Abhirup Kar</cp:lastModifiedBy>
  <dcterms:created xsi:type="dcterms:W3CDTF">2025-09-21T12:50:44Z</dcterms:created>
  <dcterms:modified xsi:type="dcterms:W3CDTF">2025-09-24T10:03:08Z</dcterms:modified>
</cp:coreProperties>
</file>